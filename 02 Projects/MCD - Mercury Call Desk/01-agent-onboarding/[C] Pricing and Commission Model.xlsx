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 View" sheetId="1" state="visible" r:id="rId3"/>
    <sheet name="Internal (Confidential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<sst xmlns="http://schemas.openxmlformats.org/spreadsheetml/2006/main" count="77" uniqueCount="43">
  <si>
    <t xml:space="preserve">Mercury Call Desk — Agent Pricing &amp; Commission</t>
  </si>
  <si>
    <t xml:space="preserve">What agents see: retail, partner wholesale (your cost basis), gross profit, and your commission. Commission = split x (Retail - Wholesale - Stripe).</t>
  </si>
  <si>
    <t xml:space="preserve">INPUTS</t>
  </si>
  <si>
    <t xml:space="preserve">Stripe %</t>
  </si>
  <si>
    <t xml:space="preserve">Stripe fixed</t>
  </si>
  <si>
    <t xml:space="preserve">Site annual discount</t>
  </si>
  <si>
    <t xml:space="preserve">Enterprise annual discount</t>
  </si>
  <si>
    <t xml:space="preserve">Agent % — Site</t>
  </si>
  <si>
    <t xml:space="preserve">Agent % — Enterprise</t>
  </si>
  <si>
    <t xml:space="preserve">SET 1 — SITE / STANDARD</t>
  </si>
  <si>
    <t xml:space="preserve">Tier</t>
  </si>
  <si>
    <t xml:space="preserve">Retail $/mo</t>
  </si>
  <si>
    <t xml:space="preserve">Partner wholesale/mo</t>
  </si>
  <si>
    <t xml:space="preserve">Stripe fee/mo</t>
  </si>
  <si>
    <t xml:space="preserve">Gross profit/mo</t>
  </si>
  <si>
    <t xml:space="preserve">Agent commission/mo</t>
  </si>
  <si>
    <t xml:space="preserve">Annual billed/yr</t>
  </si>
  <si>
    <t xml:space="preserve">Gross profit/yr</t>
  </si>
  <si>
    <t xml:space="preserve">Agent commission/yr</t>
  </si>
  <si>
    <t xml:space="preserve">Starter</t>
  </si>
  <si>
    <t xml:space="preserve">Growth</t>
  </si>
  <si>
    <t xml:space="preserve">Pro</t>
  </si>
  <si>
    <t xml:space="preserve">SET 2 — ENTERPRISE</t>
  </si>
  <si>
    <t xml:space="preserve">INTERNAL / CONFIDENTIAL — DO NOT SHARE WITH AGENTS</t>
  </si>
  <si>
    <t xml:space="preserve">Your true economics. True cost is your real Sulus/dev cost. Hidden margin = partner wholesale shown to agents - true cost. Company net = true gross profit - agent commission.</t>
  </si>
  <si>
    <t xml:space="preserve">Retail/mo</t>
  </si>
  <si>
    <t xml:space="preserve">True cost/mo</t>
  </si>
  <si>
    <t xml:space="preserve">Hidden margin/mo</t>
  </si>
  <si>
    <t xml:space="preserve">Stripe/mo</t>
  </si>
  <si>
    <t xml:space="preserve">True gross profit/mo</t>
  </si>
  <si>
    <t xml:space="preserve">Company net/mo</t>
  </si>
  <si>
    <t xml:space="preserve">SCENARIO COMPARISON — company net per deal (monthly), by commission split</t>
  </si>
  <si>
    <t xml:space="preserve">Split LOW</t>
  </si>
  <si>
    <t xml:space="preserve">Split HIGH</t>
  </si>
  <si>
    <t xml:space="preserve">Co. net A) 50/50</t>
  </si>
  <si>
    <t xml:space="preserve">Co. net B) 60 site/50 ent</t>
  </si>
  <si>
    <t xml:space="preserve">Co. net C) 50 site/60 ent</t>
  </si>
  <si>
    <t xml:space="preserve">Site Starter</t>
  </si>
  <si>
    <t xml:space="preserve">Site Growth</t>
  </si>
  <si>
    <t xml:space="preserve">Site Pro</t>
  </si>
  <si>
    <t xml:space="preserve">Ent Starter</t>
  </si>
  <si>
    <t xml:space="preserve">Ent Growth</t>
  </si>
  <si>
    <t xml:space="preserve">Ent Pro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</si>
</sst>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1F3B4D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B2"/>
        <bgColor rgb="FFFFFFCC"/>
      </patternFill>
    </fill>
    <fill>
      <patternFill patternType="solid">
        <fgColor rgb="FF2F7D79"/>
        <bgColor rgb="FF008080"/>
      </patternFill>
    </fill>
    <fill>
      <patternFill patternType="solid">
        <fgColor rgb="FFF8D7DA"/>
        <bgColor rgb="FFFFF2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B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F7D79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8" min="7" style="0" width="14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0.029</v>
      </c>
    </row>
    <row r="6" customFormat="false" ht="15" hidden="false" customHeight="false" outlineLevel="0" collapsed="false">
      <c r="A6" s="4" t="s">
        <v>4</v>
      </c>
      <c r="B6" s="6" t="n">
        <v>0.3</v>
      </c>
    </row>
    <row r="7" customFormat="false" ht="15" hidden="false" customHeight="false" outlineLevel="0" collapsed="false">
      <c r="A7" s="4" t="s">
        <v>5</v>
      </c>
      <c r="B7" s="5" t="n">
        <v>0.25</v>
      </c>
    </row>
    <row r="8" customFormat="false" ht="15" hidden="false" customHeight="false" outlineLevel="0" collapsed="false">
      <c r="A8" s="4" t="s">
        <v>6</v>
      </c>
      <c r="B8" s="5" t="n">
        <v>0.2</v>
      </c>
    </row>
    <row r="9" customFormat="false" ht="15" hidden="false" customHeight="false" outlineLevel="0" collapsed="false">
      <c r="A9" s="4" t="s">
        <v>7</v>
      </c>
      <c r="B9" s="7" t="n">
        <v>0.5</v>
      </c>
    </row>
    <row r="10" customFormat="false" ht="15" hidden="false" customHeight="false" outlineLevel="0" collapsed="false">
      <c r="A10" s="4" t="s">
        <v>8</v>
      </c>
      <c r="B10" s="7" t="n">
        <v>0.5</v>
      </c>
    </row>
    <row r="12" customFormat="false" ht="15" hidden="false" customHeight="false" outlineLevel="0" collapsed="false">
      <c r="A12" s="3" t="s">
        <v>9</v>
      </c>
    </row>
    <row r="13" customFormat="false" ht="23.85" hidden="false" customHeight="false" outlineLevel="0" collapsed="false">
      <c r="A13" s="8" t="s">
        <v>10</v>
      </c>
      <c r="B13" s="8" t="s">
        <v>11</v>
      </c>
      <c r="C13" s="8" t="s">
        <v>12</v>
      </c>
      <c r="D13" s="8" t="s">
        <v>13</v>
      </c>
      <c r="E13" s="8" t="s">
        <v>14</v>
      </c>
      <c r="F13" s="8" t="s">
        <v>15</v>
      </c>
      <c r="G13" s="8" t="s">
        <v>16</v>
      </c>
      <c r="H13" s="8" t="s">
        <v>17</v>
      </c>
      <c r="I13" s="8" t="s">
        <v>18</v>
      </c>
    </row>
    <row r="14" customFormat="false" ht="15" hidden="false" customHeight="false" outlineLevel="0" collapsed="false">
      <c r="A14" s="9" t="s">
        <v>19</v>
      </c>
      <c r="B14" s="10" t="n">
        <v>1595</v>
      </c>
      <c r="C14" s="11" t="n">
        <v>1000</v>
      </c>
      <c r="D14" s="12" t="n">
        <f aca="false">B14*$B$5+$B$6</f>
        <v>46.555</v>
      </c>
      <c r="E14" s="12" t="n">
        <f aca="false">B14-C14-D14</f>
        <v>548.445</v>
      </c>
      <c r="F14" s="12" t="n">
        <f aca="false">E14*$B$9</f>
        <v>274.2225</v>
      </c>
      <c r="G14" s="12" t="n">
        <f aca="false">B14*12*(1-$B$7)</f>
        <v>14355</v>
      </c>
      <c r="H14" s="12" t="n">
        <f aca="false">G14-(G14*$B$5+$B$6)-(C14*12)</f>
        <v>1938.405</v>
      </c>
      <c r="I14" s="12" t="n">
        <f aca="false">H14*$B$9</f>
        <v>969.2025</v>
      </c>
    </row>
    <row r="15" customFormat="false" ht="15" hidden="false" customHeight="false" outlineLevel="0" collapsed="false">
      <c r="A15" s="9" t="s">
        <v>20</v>
      </c>
      <c r="B15" s="10" t="n">
        <v>1995</v>
      </c>
      <c r="C15" s="11" t="n">
        <v>1250</v>
      </c>
      <c r="D15" s="12" t="n">
        <f aca="false">B15*$B$5+$B$6</f>
        <v>58.155</v>
      </c>
      <c r="E15" s="12" t="n">
        <f aca="false">B15-C15-D15</f>
        <v>686.845</v>
      </c>
      <c r="F15" s="12" t="n">
        <f aca="false">E15*$B$9</f>
        <v>343.4225</v>
      </c>
      <c r="G15" s="12" t="n">
        <f aca="false">B15*12*(1-$B$7)</f>
        <v>17955</v>
      </c>
      <c r="H15" s="12" t="n">
        <f aca="false">G15-(G15*$B$5+$B$6)-(C15*12)</f>
        <v>2434.005</v>
      </c>
      <c r="I15" s="12" t="n">
        <f aca="false">H15*$B$9</f>
        <v>1217.0025</v>
      </c>
    </row>
    <row r="16" customFormat="false" ht="15" hidden="false" customHeight="false" outlineLevel="0" collapsed="false">
      <c r="A16" s="9" t="s">
        <v>21</v>
      </c>
      <c r="B16" s="10" t="n">
        <v>3995</v>
      </c>
      <c r="C16" s="11" t="n">
        <v>1500</v>
      </c>
      <c r="D16" s="12" t="n">
        <f aca="false">B16*$B$5+$B$6</f>
        <v>116.155</v>
      </c>
      <c r="E16" s="12" t="n">
        <f aca="false">B16-C16-D16</f>
        <v>2378.845</v>
      </c>
      <c r="F16" s="12" t="n">
        <f aca="false">E16*$B$9</f>
        <v>1189.4225</v>
      </c>
      <c r="G16" s="12" t="n">
        <f aca="false">B16*12*(1-$B$7)</f>
        <v>35955</v>
      </c>
      <c r="H16" s="12" t="n">
        <f aca="false">G16-(G16*$B$5+$B$6)-(C16*12)</f>
        <v>16912.005</v>
      </c>
      <c r="I16" s="12" t="n">
        <f aca="false">H16*$B$9</f>
        <v>8456.0025</v>
      </c>
    </row>
    <row r="18" customFormat="false" ht="15" hidden="false" customHeight="false" outlineLevel="0" collapsed="false">
      <c r="A18" s="3" t="s">
        <v>22</v>
      </c>
    </row>
    <row r="19" customFormat="false" ht="23.85" hidden="false" customHeight="false" outlineLevel="0" collapsed="false">
      <c r="A19" s="8" t="s">
        <v>10</v>
      </c>
      <c r="B19" s="8" t="s">
        <v>11</v>
      </c>
      <c r="C19" s="8" t="s">
        <v>12</v>
      </c>
      <c r="D19" s="8" t="s">
        <v>13</v>
      </c>
      <c r="E19" s="8" t="s">
        <v>14</v>
      </c>
      <c r="F19" s="8" t="s">
        <v>15</v>
      </c>
      <c r="G19" s="8" t="s">
        <v>16</v>
      </c>
      <c r="H19" s="8" t="s">
        <v>17</v>
      </c>
      <c r="I19" s="8" t="s">
        <v>18</v>
      </c>
    </row>
    <row r="20" customFormat="false" ht="15" hidden="false" customHeight="false" outlineLevel="0" collapsed="false">
      <c r="A20" s="9" t="s">
        <v>19</v>
      </c>
      <c r="B20" s="10" t="n">
        <v>5295</v>
      </c>
      <c r="C20" s="11" t="n">
        <v>2500</v>
      </c>
      <c r="D20" s="12" t="n">
        <f aca="false">B20*$B$5+$B$6</f>
        <v>153.855</v>
      </c>
      <c r="E20" s="12" t="n">
        <f aca="false">B20-C20-D20</f>
        <v>2641.145</v>
      </c>
      <c r="F20" s="12" t="n">
        <f aca="false">E20*$B$10</f>
        <v>1320.5725</v>
      </c>
      <c r="G20" s="12" t="n">
        <f aca="false">B20*12*(1-$B$8)</f>
        <v>50832</v>
      </c>
      <c r="H20" s="12" t="n">
        <f aca="false">G20-(G20*$B$5+$B$6)-(C20*12)</f>
        <v>19357.572</v>
      </c>
      <c r="I20" s="12" t="n">
        <f aca="false">H20*$B$10</f>
        <v>9678.786</v>
      </c>
    </row>
    <row r="21" customFormat="false" ht="15" hidden="false" customHeight="false" outlineLevel="0" collapsed="false">
      <c r="A21" s="9" t="s">
        <v>20</v>
      </c>
      <c r="B21" s="10" t="n">
        <v>7595</v>
      </c>
      <c r="C21" s="11" t="n">
        <v>3500</v>
      </c>
      <c r="D21" s="12" t="n">
        <f aca="false">B21*$B$5+$B$6</f>
        <v>220.555</v>
      </c>
      <c r="E21" s="12" t="n">
        <f aca="false">B21-C21-D21</f>
        <v>3874.445</v>
      </c>
      <c r="F21" s="12" t="n">
        <f aca="false">E21*$B$10</f>
        <v>1937.2225</v>
      </c>
      <c r="G21" s="12" t="n">
        <f aca="false">B21*12*(1-$B$8)</f>
        <v>72912</v>
      </c>
      <c r="H21" s="12" t="n">
        <f aca="false">G21-(G21*$B$5+$B$6)-(C21*12)</f>
        <v>28797.252</v>
      </c>
      <c r="I21" s="12" t="n">
        <f aca="false">H21*$B$10</f>
        <v>14398.626</v>
      </c>
    </row>
    <row r="22" customFormat="false" ht="15" hidden="false" customHeight="false" outlineLevel="0" collapsed="false">
      <c r="A22" s="9" t="s">
        <v>21</v>
      </c>
      <c r="B22" s="10" t="n">
        <v>9995</v>
      </c>
      <c r="C22" s="11" t="n">
        <v>5000</v>
      </c>
      <c r="D22" s="12" t="n">
        <f aca="false">B22*$B$5+$B$6</f>
        <v>290.155</v>
      </c>
      <c r="E22" s="12" t="n">
        <f aca="false">B22-C22-D22</f>
        <v>4704.845</v>
      </c>
      <c r="F22" s="12" t="n">
        <f aca="false">E22*$B$10</f>
        <v>2352.4225</v>
      </c>
      <c r="G22" s="12" t="n">
        <f aca="false">B22*12*(1-$B$8)</f>
        <v>95952</v>
      </c>
      <c r="H22" s="12" t="n">
        <f aca="false">G22-(G22*$B$5+$B$6)-(C22*12)</f>
        <v>33169.092</v>
      </c>
      <c r="I22" s="12" t="n">
        <f aca="false">H22*$B$10</f>
        <v>16584.546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8" min="7" style="0" width="17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13" t="s">
        <v>23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9</v>
      </c>
    </row>
    <row r="5" customFormat="false" ht="23.85" hidden="false" customHeight="false" outlineLevel="0" collapsed="false">
      <c r="A5" s="8" t="s">
        <v>10</v>
      </c>
      <c r="B5" s="8" t="s">
        <v>25</v>
      </c>
      <c r="C5" s="8" t="s">
        <v>12</v>
      </c>
      <c r="D5" s="8" t="s">
        <v>26</v>
      </c>
      <c r="E5" s="8" t="s">
        <v>27</v>
      </c>
      <c r="F5" s="8" t="s">
        <v>28</v>
      </c>
      <c r="G5" s="8" t="s">
        <v>29</v>
      </c>
      <c r="H5" s="8" t="s">
        <v>15</v>
      </c>
      <c r="I5" s="8" t="s">
        <v>30</v>
      </c>
    </row>
    <row r="6" customFormat="false" ht="15" hidden="false" customHeight="false" outlineLevel="0" collapsed="false">
      <c r="A6" s="9" t="s">
        <v>19</v>
      </c>
      <c r="B6" s="14" t="n">
        <f aca="false">'Agent View'!B14</f>
        <v>1595</v>
      </c>
      <c r="C6" s="14" t="n">
        <f aca="false">'Agent View'!C14</f>
        <v>1000</v>
      </c>
      <c r="D6" s="11" t="n">
        <v>50</v>
      </c>
      <c r="E6" s="12" t="n">
        <f aca="false">C6-D6</f>
        <v>950</v>
      </c>
      <c r="F6" s="14" t="n">
        <f aca="false">'Agent View'!D14</f>
        <v>46.555</v>
      </c>
      <c r="G6" s="12" t="n">
        <f aca="false">B6-D6-F6</f>
        <v>1498.445</v>
      </c>
      <c r="H6" s="14" t="n">
        <f aca="false">'Agent View'!F14</f>
        <v>274.2225</v>
      </c>
      <c r="I6" s="12" t="n">
        <f aca="false">G6-H6</f>
        <v>1224.2225</v>
      </c>
    </row>
    <row r="7" customFormat="false" ht="15" hidden="false" customHeight="false" outlineLevel="0" collapsed="false">
      <c r="A7" s="9" t="s">
        <v>20</v>
      </c>
      <c r="B7" s="14" t="n">
        <f aca="false">'Agent View'!B15</f>
        <v>1995</v>
      </c>
      <c r="C7" s="14" t="n">
        <f aca="false">'Agent View'!C15</f>
        <v>1250</v>
      </c>
      <c r="D7" s="11" t="n">
        <v>150</v>
      </c>
      <c r="E7" s="12" t="n">
        <f aca="false">C7-D7</f>
        <v>1100</v>
      </c>
      <c r="F7" s="14" t="n">
        <f aca="false">'Agent View'!D15</f>
        <v>58.155</v>
      </c>
      <c r="G7" s="12" t="n">
        <f aca="false">B7-D7-F7</f>
        <v>1786.845</v>
      </c>
      <c r="H7" s="14" t="n">
        <f aca="false">'Agent View'!F15</f>
        <v>343.4225</v>
      </c>
      <c r="I7" s="12" t="n">
        <f aca="false">G7-H7</f>
        <v>1443.4225</v>
      </c>
    </row>
    <row r="8" customFormat="false" ht="15" hidden="false" customHeight="false" outlineLevel="0" collapsed="false">
      <c r="A8" s="9" t="s">
        <v>21</v>
      </c>
      <c r="B8" s="14" t="n">
        <f aca="false">'Agent View'!B16</f>
        <v>3995</v>
      </c>
      <c r="C8" s="14" t="n">
        <f aca="false">'Agent View'!C16</f>
        <v>1500</v>
      </c>
      <c r="D8" s="11" t="n">
        <v>500</v>
      </c>
      <c r="E8" s="12" t="n">
        <f aca="false">C8-D8</f>
        <v>1000</v>
      </c>
      <c r="F8" s="14" t="n">
        <f aca="false">'Agent View'!D16</f>
        <v>116.155</v>
      </c>
      <c r="G8" s="12" t="n">
        <f aca="false">B8-D8-F8</f>
        <v>3378.845</v>
      </c>
      <c r="H8" s="14" t="n">
        <f aca="false">'Agent View'!F16</f>
        <v>1189.4225</v>
      </c>
      <c r="I8" s="12" t="n">
        <f aca="false">G8-H8</f>
        <v>2189.4225</v>
      </c>
    </row>
    <row r="10" customFormat="false" ht="15" hidden="false" customHeight="false" outlineLevel="0" collapsed="false">
      <c r="A10" s="3" t="s">
        <v>22</v>
      </c>
    </row>
    <row r="11" customFormat="false" ht="23.85" hidden="false" customHeight="false" outlineLevel="0" collapsed="false">
      <c r="A11" s="8" t="s">
        <v>10</v>
      </c>
      <c r="B11" s="8" t="s">
        <v>25</v>
      </c>
      <c r="C11" s="8" t="s">
        <v>12</v>
      </c>
      <c r="D11" s="8" t="s">
        <v>26</v>
      </c>
      <c r="E11" s="8" t="s">
        <v>27</v>
      </c>
      <c r="F11" s="8" t="s">
        <v>28</v>
      </c>
      <c r="G11" s="8" t="s">
        <v>29</v>
      </c>
      <c r="H11" s="8" t="s">
        <v>15</v>
      </c>
      <c r="I11" s="8" t="s">
        <v>30</v>
      </c>
    </row>
    <row r="12" customFormat="false" ht="15" hidden="false" customHeight="false" outlineLevel="0" collapsed="false">
      <c r="A12" s="9" t="s">
        <v>19</v>
      </c>
      <c r="B12" s="14" t="n">
        <f aca="false">'Agent View'!B20</f>
        <v>5295</v>
      </c>
      <c r="C12" s="14" t="n">
        <f aca="false">'Agent View'!C20</f>
        <v>2500</v>
      </c>
      <c r="D12" s="11" t="n">
        <v>2500</v>
      </c>
      <c r="E12" s="12" t="n">
        <f aca="false">C12-D12</f>
        <v>0</v>
      </c>
      <c r="F12" s="14" t="n">
        <f aca="false">'Agent View'!D20</f>
        <v>153.855</v>
      </c>
      <c r="G12" s="12" t="n">
        <f aca="false">B12-D12-F12</f>
        <v>2641.145</v>
      </c>
      <c r="H12" s="14" t="n">
        <f aca="false">'Agent View'!F20</f>
        <v>1320.5725</v>
      </c>
      <c r="I12" s="12" t="n">
        <f aca="false">G12-H12</f>
        <v>1320.5725</v>
      </c>
    </row>
    <row r="13" customFormat="false" ht="15" hidden="false" customHeight="false" outlineLevel="0" collapsed="false">
      <c r="A13" s="9" t="s">
        <v>20</v>
      </c>
      <c r="B13" s="14" t="n">
        <f aca="false">'Agent View'!B21</f>
        <v>7595</v>
      </c>
      <c r="C13" s="14" t="n">
        <f aca="false">'Agent View'!C21</f>
        <v>3500</v>
      </c>
      <c r="D13" s="11" t="n">
        <v>3500</v>
      </c>
      <c r="E13" s="12" t="n">
        <f aca="false">C13-D13</f>
        <v>0</v>
      </c>
      <c r="F13" s="14" t="n">
        <f aca="false">'Agent View'!D21</f>
        <v>220.555</v>
      </c>
      <c r="G13" s="12" t="n">
        <f aca="false">B13-D13-F13</f>
        <v>3874.445</v>
      </c>
      <c r="H13" s="14" t="n">
        <f aca="false">'Agent View'!F21</f>
        <v>1937.2225</v>
      </c>
      <c r="I13" s="12" t="n">
        <f aca="false">G13-H13</f>
        <v>1937.2225</v>
      </c>
    </row>
    <row r="14" customFormat="false" ht="15" hidden="false" customHeight="false" outlineLevel="0" collapsed="false">
      <c r="A14" s="9" t="s">
        <v>21</v>
      </c>
      <c r="B14" s="14" t="n">
        <f aca="false">'Agent View'!B22</f>
        <v>9995</v>
      </c>
      <c r="C14" s="14" t="n">
        <f aca="false">'Agent View'!C22</f>
        <v>5000</v>
      </c>
      <c r="D14" s="11" t="n">
        <v>5000</v>
      </c>
      <c r="E14" s="12" t="n">
        <f aca="false">C14-D14</f>
        <v>0</v>
      </c>
      <c r="F14" s="14" t="n">
        <f aca="false">'Agent View'!D22</f>
        <v>290.155</v>
      </c>
      <c r="G14" s="12" t="n">
        <f aca="false">B14-D14-F14</f>
        <v>4704.845</v>
      </c>
      <c r="H14" s="14" t="n">
        <f aca="false">'Agent View'!F22</f>
        <v>2352.4225</v>
      </c>
      <c r="I14" s="12" t="n">
        <f aca="false">G14-H14</f>
        <v>2352.4225</v>
      </c>
    </row>
    <row r="16" customFormat="false" ht="15" hidden="false" customHeight="false" outlineLevel="0" collapsed="false">
      <c r="A16" s="3" t="s">
        <v>31</v>
      </c>
    </row>
    <row r="17" customFormat="false" ht="15" hidden="false" customHeight="false" outlineLevel="0" collapsed="false">
      <c r="A17" s="4" t="s">
        <v>32</v>
      </c>
      <c r="B17" s="7" t="n">
        <v>0.5</v>
      </c>
      <c r="D17" s="4" t="s">
        <v>33</v>
      </c>
      <c r="E17" s="7" t="n">
        <v>0.6</v>
      </c>
    </row>
    <row r="18" customFormat="false" ht="23.85" hidden="false" customHeight="false" outlineLevel="0" collapsed="false">
      <c r="A18" s="8" t="s">
        <v>10</v>
      </c>
      <c r="B18" s="8" t="s">
        <v>29</v>
      </c>
      <c r="C18" s="8" t="s">
        <v>34</v>
      </c>
      <c r="D18" s="8" t="s">
        <v>35</v>
      </c>
      <c r="E18" s="8" t="s">
        <v>36</v>
      </c>
    </row>
    <row r="19" customFormat="false" ht="15" hidden="false" customHeight="false" outlineLevel="0" collapsed="false">
      <c r="A19" s="9" t="s">
        <v>37</v>
      </c>
      <c r="B19" s="12" t="n">
        <f aca="false">G6</f>
        <v>1498.445</v>
      </c>
      <c r="C19" s="12" t="n">
        <f aca="false">G6-G6*$B$17</f>
        <v>749.2225</v>
      </c>
      <c r="D19" s="12" t="n">
        <f aca="false">G6-G6*$E$17</f>
        <v>599.378</v>
      </c>
      <c r="E19" s="12" t="n">
        <f aca="false">G6-G6*$B$17</f>
        <v>749.2225</v>
      </c>
    </row>
    <row r="20" customFormat="false" ht="15" hidden="false" customHeight="false" outlineLevel="0" collapsed="false">
      <c r="A20" s="9" t="s">
        <v>38</v>
      </c>
      <c r="B20" s="12" t="n">
        <f aca="false">G7</f>
        <v>1786.845</v>
      </c>
      <c r="C20" s="12" t="n">
        <f aca="false">G7-G7*$B$17</f>
        <v>893.4225</v>
      </c>
      <c r="D20" s="12" t="n">
        <f aca="false">G7-G7*$E$17</f>
        <v>714.738</v>
      </c>
      <c r="E20" s="12" t="n">
        <f aca="false">G7-G7*$B$17</f>
        <v>893.4225</v>
      </c>
    </row>
    <row r="21" customFormat="false" ht="15" hidden="false" customHeight="false" outlineLevel="0" collapsed="false">
      <c r="A21" s="9" t="s">
        <v>39</v>
      </c>
      <c r="B21" s="12" t="n">
        <f aca="false">G8</f>
        <v>3378.845</v>
      </c>
      <c r="C21" s="12" t="n">
        <f aca="false">G8-G8*$B$17</f>
        <v>1689.4225</v>
      </c>
      <c r="D21" s="12" t="n">
        <f aca="false">G8-G8*$E$17</f>
        <v>1351.538</v>
      </c>
      <c r="E21" s="12" t="n">
        <f aca="false">G8-G8*$B$17</f>
        <v>1689.4225</v>
      </c>
    </row>
    <row r="22" customFormat="false" ht="15" hidden="false" customHeight="false" outlineLevel="0" collapsed="false">
      <c r="A22" s="9" t="s">
        <v>40</v>
      </c>
      <c r="B22" s="12" t="n">
        <f aca="false">G12</f>
        <v>2641.145</v>
      </c>
      <c r="C22" s="12" t="n">
        <f aca="false">G12-G12*$B$17</f>
        <v>1320.5725</v>
      </c>
      <c r="D22" s="12" t="n">
        <f aca="false">G12-G12*$B$17</f>
        <v>1320.5725</v>
      </c>
      <c r="E22" s="12" t="n">
        <f aca="false">G12-G12*$E$17</f>
        <v>1056.458</v>
      </c>
    </row>
    <row r="23" customFormat="false" ht="15" hidden="false" customHeight="false" outlineLevel="0" collapsed="false">
      <c r="A23" s="9" t="s">
        <v>41</v>
      </c>
      <c r="B23" s="12" t="n">
        <f aca="false">G13</f>
        <v>3874.445</v>
      </c>
      <c r="C23" s="12" t="n">
        <f aca="false">G13-G13*$B$17</f>
        <v>1937.2225</v>
      </c>
      <c r="D23" s="12" t="n">
        <f aca="false">G13-G13*$B$17</f>
        <v>1937.2225</v>
      </c>
      <c r="E23" s="12" t="n">
        <f aca="false">G13-G13*$E$17</f>
        <v>1549.778</v>
      </c>
    </row>
    <row r="24" customFormat="false" ht="15" hidden="false" customHeight="false" outlineLevel="0" collapsed="false">
      <c r="A24" s="9" t="s">
        <v>42</v>
      </c>
      <c r="B24" s="12" t="n">
        <f aca="false">G14</f>
        <v>4704.845</v>
      </c>
      <c r="C24" s="12" t="n">
        <f aca="false">G14-G14*$B$17</f>
        <v>2352.4225</v>
      </c>
      <c r="D24" s="12" t="n">
        <f aca="false">G14-G14*$B$17</f>
        <v>2352.4225</v>
      </c>
      <c r="E24" s="12" t="n">
        <f aca="false">G14-G14*$E$17</f>
        <v>1881.938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2026-06-25T03:06:09Z</dcterms:created>
  <dc:creator>openpyxl</dc:creator>
  <dc:description/>
  <dc:language>en-US</dc:language>
  <cp:lastModifiedBy/>
  <dcterms:modified xsi:type="dcterms:W3CDTF">2026-06-25T03:06:09Z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